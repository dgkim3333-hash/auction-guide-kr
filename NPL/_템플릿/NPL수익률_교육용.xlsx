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500" firstSheet="0" activeTab="0" autoFilterDateGrouping="1"/>
  </bookViews>
  <sheets>
    <sheet xmlns:r="http://schemas.openxmlformats.org/officeDocument/2006/relationships" name="분석" sheetId="1" state="visible" r:id="rId1"/>
    <sheet xmlns:r="http://schemas.openxmlformats.org/officeDocument/2006/relationships" name="법인세 부가세 취득세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yyyy\-mm\-dd"/>
    <numFmt numFmtId="165" formatCode="_-* #,##0_-;\-* #,##0_-;_-* \-_-;_-@_-"/>
    <numFmt numFmtId="166" formatCode="0.0"/>
    <numFmt numFmtId="167" formatCode="_-* #,##0.00_-;\-* #,##0.00_-;_-* \-??_-;_-@_-"/>
    <numFmt numFmtId="168" formatCode="0.000%"/>
    <numFmt numFmtId="169" formatCode="_-* #,##0.0_-;\-* #,##0.0_-;_-* \-?_-;_-@_-"/>
    <numFmt numFmtId="170" formatCode="0.0%"/>
    <numFmt numFmtId="171" formatCode="_-* #,##0_-;\-* #,##0_-;_-* \-??_-;_-@_-"/>
    <numFmt numFmtId="172" formatCode="_-* #,##0_-;\-* #,##0_-;_-* \-???_-;_-@_-"/>
    <numFmt numFmtId="173" formatCode="_-* #,##0.0_-;\-* #,##0.0_-;_-* &quot;-&quot;?_-;_-@_-"/>
    <numFmt numFmtId="174" formatCode="#,##0_ "/>
    <numFmt numFmtId="175" formatCode="_(* #,##0_);_(* \(#,##0\);_(* \-_);_(@_)"/>
  </numFmts>
  <fonts count="34">
    <font>
      <name val="맑은 고딕"/>
      <charset val="129"/>
      <family val="2"/>
      <color theme="1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0"/>
      <sz val="14"/>
    </font>
    <font>
      <name val="Noto Sans CJK SC"/>
      <family val="2"/>
      <color theme="0"/>
      <sz val="14"/>
    </font>
    <font>
      <name val="Noto Sans CJK SC"/>
      <family val="2"/>
      <color theme="1"/>
      <sz val="11"/>
    </font>
    <font>
      <name val="맑은 고딕"/>
      <charset val="129"/>
      <family val="3"/>
      <color rgb="FF000000"/>
      <sz val="11"/>
    </font>
    <font>
      <name val="Noto Sans CJK SC"/>
      <family val="2"/>
      <color rgb="FF000000"/>
      <sz val="11"/>
    </font>
    <font>
      <name val="맑은 고딕"/>
      <charset val="129"/>
      <family val="3"/>
      <b val="1"/>
      <color rgb="FF0070C0"/>
      <sz val="11"/>
    </font>
    <font>
      <name val="맑은 고딕"/>
      <charset val="129"/>
      <family val="3"/>
      <b val="1"/>
      <color rgb="FFFF0000"/>
      <sz val="11"/>
    </font>
    <font>
      <name val="Noto Sans CJK SC"/>
      <family val="2"/>
      <b val="1"/>
      <color rgb="FF339933"/>
      <sz val="11"/>
    </font>
    <font>
      <name val="맑은 고딕"/>
      <charset val="129"/>
      <family val="3"/>
      <b val="1"/>
      <color rgb="FF339933"/>
      <sz val="11"/>
    </font>
    <font>
      <name val="Noto Sans CJK SC"/>
      <family val="2"/>
      <b val="1"/>
      <color theme="1"/>
      <sz val="13.5"/>
    </font>
    <font>
      <name val="맑은 고딕"/>
      <charset val="129"/>
      <family val="3"/>
      <b val="1"/>
      <color theme="1"/>
      <sz val="13.5"/>
    </font>
    <font>
      <name val="Noto Sans CJK SC"/>
      <family val="2"/>
      <b val="1"/>
      <color rgb="FFFF0000"/>
      <sz val="12"/>
    </font>
    <font>
      <name val="맑은 고딕"/>
      <charset val="129"/>
      <family val="3"/>
      <b val="1"/>
      <color rgb="FFFF0000"/>
      <sz val="12"/>
    </font>
    <font>
      <name val="Noto Sans CJK SC"/>
      <family val="2"/>
      <b val="1"/>
      <color theme="9" tint="-0.249977111117893"/>
      <sz val="13.5"/>
    </font>
    <font>
      <name val="맑은 고딕"/>
      <charset val="129"/>
      <family val="3"/>
      <b val="1"/>
      <color theme="9" tint="-0.249977111117893"/>
      <sz val="11"/>
    </font>
    <font>
      <name val="맑은 고딕"/>
      <charset val="129"/>
      <family val="3"/>
      <b val="1"/>
      <color rgb="FF002060"/>
      <sz val="11"/>
    </font>
    <font>
      <name val="Noto Sans CJK SC"/>
      <family val="2"/>
      <b val="1"/>
      <color theme="1"/>
      <sz val="11"/>
    </font>
    <font>
      <name val="Noto Sans CJK SC"/>
      <family val="2"/>
      <b val="1"/>
      <sz val="11"/>
    </font>
    <font>
      <name val="Noto Sans CJK SC"/>
      <family val="2"/>
      <b val="1"/>
      <sz val="10"/>
    </font>
    <font>
      <name val="맑은 고딕"/>
      <charset val="129"/>
      <family val="3"/>
      <color rgb="FF0000FF"/>
      <sz val="11"/>
    </font>
    <font>
      <name val="맑은 고딕"/>
      <charset val="129"/>
      <family val="3"/>
      <i val="1"/>
      <color rgb="FF808080"/>
      <sz val="9"/>
    </font>
    <font>
      <name val="Noto Sans CJK SC"/>
      <family val="2"/>
      <i val="1"/>
      <color rgb="FF808080"/>
      <sz val="9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rgb="FFFF0000"/>
      <sz val="11"/>
    </font>
    <font>
      <name val="맑은 고딕"/>
      <charset val="129"/>
      <family val="3"/>
      <b val="1"/>
      <sz val="11"/>
    </font>
    <font>
      <name val="Noto Sans CJK SC"/>
      <family val="2"/>
      <color rgb="FF808080"/>
      <sz val="11"/>
    </font>
    <font>
      <name val="맑은 고딕"/>
      <charset val="129"/>
      <family val="3"/>
      <color rgb="FF808080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Noto Sans CJK SC"/>
      <charset val="129"/>
      <family val="3"/>
      <color rgb="FF000000"/>
      <sz val="11"/>
    </font>
    <font>
      <name val="Noto Sans CJK SC"/>
      <charset val="129"/>
      <family val="3"/>
      <color theme="1"/>
      <sz val="11"/>
    </font>
  </fonts>
  <fills count="9">
    <fill>
      <patternFill/>
    </fill>
    <fill>
      <patternFill patternType="gray125"/>
    </fill>
    <fill>
      <patternFill patternType="solid">
        <fgColor theme="2" tint="-0.499984740745262"/>
        <bgColor rgb="FF80808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9" tint="0.5995971556749168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5" tint="0.7997985778374584"/>
        <bgColor rgb="FFF2F2F2"/>
      </patternFill>
    </fill>
    <fill>
      <patternFill patternType="solid">
        <fgColor rgb="FFDAEEF3"/>
        <bgColor rgb="FFF2F2F2"/>
      </patternFill>
    </fill>
    <fill>
      <patternFill patternType="solid">
        <fgColor rgb="FFF2F2F2"/>
        <bgColor rgb="FFFFFFFF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30" fillId="0" borderId="0" applyAlignment="1">
      <alignment vertical="center"/>
    </xf>
    <xf numFmtId="9" fontId="30" fillId="0" borderId="0" applyAlignment="1">
      <alignment vertical="center"/>
    </xf>
    <xf numFmtId="175" fontId="30" fillId="0" borderId="0" applyAlignment="1">
      <alignment vertical="center"/>
    </xf>
  </cellStyleXfs>
  <cellXfs count="19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5" fillId="3" borderId="2" applyAlignment="1" applyProtection="1" pivotButton="0" quotePrefix="0" xfId="0">
      <alignment horizontal="right" vertical="center" indent="1"/>
      <protection locked="0" hidden="0"/>
    </xf>
    <xf numFmtId="164" fontId="6" fillId="0" borderId="2" applyAlignment="1" applyProtection="1" pivotButton="0" quotePrefix="0" xfId="0">
      <alignment horizontal="center" vertical="center"/>
      <protection locked="0" hidden="0"/>
    </xf>
    <xf numFmtId="0" fontId="5" fillId="4" borderId="2" applyAlignment="1" applyProtection="1" pivotButton="0" quotePrefix="0" xfId="0">
      <alignment horizontal="right" vertical="center" indent="1"/>
      <protection locked="0" hidden="0"/>
    </xf>
    <xf numFmtId="165" fontId="2" fillId="0" borderId="2" applyAlignment="1" pivotButton="0" quotePrefix="0" xfId="2">
      <alignment vertical="center"/>
    </xf>
    <xf numFmtId="0" fontId="7" fillId="0" borderId="2" applyAlignment="1" applyProtection="1" pivotButton="0" quotePrefix="0" xfId="0">
      <alignment horizontal="center" vertical="center"/>
      <protection locked="0" hidden="0"/>
    </xf>
    <xf numFmtId="165" fontId="2" fillId="0" borderId="2" applyAlignment="1" pivotButton="0" quotePrefix="0" xfId="0">
      <alignment vertical="center"/>
    </xf>
    <xf numFmtId="166" fontId="6" fillId="0" borderId="2" applyAlignment="1" applyProtection="1" pivotButton="0" quotePrefix="0" xfId="0">
      <alignment horizontal="center" vertical="center"/>
      <protection locked="0" hidden="0"/>
    </xf>
    <xf numFmtId="9" fontId="2" fillId="5" borderId="2" applyAlignment="1" applyProtection="1" pivotButton="0" quotePrefix="0" xfId="1">
      <alignment vertical="center"/>
      <protection locked="0" hidden="0"/>
    </xf>
    <xf numFmtId="2" fontId="6" fillId="0" borderId="2" applyAlignment="1" applyProtection="1" pivotButton="0" quotePrefix="0" xfId="0">
      <alignment horizontal="center" vertical="center"/>
      <protection locked="0" hidden="0"/>
    </xf>
    <xf numFmtId="164" fontId="2" fillId="5" borderId="2" applyAlignment="1" pivotButton="0" quotePrefix="0" xfId="0">
      <alignment horizontal="center" vertical="center"/>
    </xf>
    <xf numFmtId="165" fontId="6" fillId="0" borderId="2" applyAlignment="1" applyProtection="1" pivotButton="0" quotePrefix="0" xfId="2">
      <alignment vertical="center"/>
      <protection locked="0" hidden="0"/>
    </xf>
    <xf numFmtId="167" fontId="2" fillId="0" borderId="0" applyAlignment="1" pivotButton="0" quotePrefix="0" xfId="0">
      <alignment vertical="center"/>
    </xf>
    <xf numFmtId="0" fontId="6" fillId="0" borderId="2" applyAlignment="1" applyProtection="1" pivotButton="0" quotePrefix="0" xfId="0">
      <alignment horizontal="center" vertical="center"/>
      <protection locked="0" hidden="0"/>
    </xf>
    <xf numFmtId="164" fontId="6" fillId="0" borderId="2" applyAlignment="1" applyProtection="1" pivotButton="0" quotePrefix="0" xfId="0">
      <alignment horizontal="left" vertical="center" indent="2"/>
      <protection locked="0" hidden="0"/>
    </xf>
    <xf numFmtId="168" fontId="6" fillId="5" borderId="2" applyAlignment="1" applyProtection="1" pivotButton="0" quotePrefix="0" xfId="1">
      <alignment vertical="center"/>
      <protection locked="0" hidden="0"/>
    </xf>
    <xf numFmtId="165" fontId="8" fillId="0" borderId="2" applyAlignment="1" pivotButton="0" quotePrefix="0" xfId="0">
      <alignment vertical="center"/>
    </xf>
    <xf numFmtId="165" fontId="2" fillId="5" borderId="2" applyAlignment="1" applyProtection="1" pivotButton="0" quotePrefix="0" xfId="2">
      <alignment vertical="center"/>
      <protection locked="0" hidden="0"/>
    </xf>
    <xf numFmtId="169" fontId="2" fillId="0" borderId="0" applyAlignment="1" pivotButton="0" quotePrefix="0" xfId="0">
      <alignment vertical="center"/>
    </xf>
    <xf numFmtId="165" fontId="9" fillId="0" borderId="2" applyAlignment="1" pivotButton="0" quotePrefix="0" xfId="0">
      <alignment vertical="center"/>
    </xf>
    <xf numFmtId="9" fontId="9" fillId="5" borderId="2" applyAlignment="1" applyProtection="1" pivotButton="0" quotePrefix="0" xfId="1">
      <alignment horizontal="right" vertical="center"/>
      <protection locked="0" hidden="0"/>
    </xf>
    <xf numFmtId="0" fontId="10" fillId="3" borderId="2" applyAlignment="1" applyProtection="1" pivotButton="0" quotePrefix="0" xfId="0">
      <alignment horizontal="right" vertical="center" indent="1"/>
      <protection locked="0" hidden="0"/>
    </xf>
    <xf numFmtId="170" fontId="11" fillId="0" borderId="2" applyAlignment="1" pivotButton="0" quotePrefix="0" xfId="1">
      <alignment vertical="center"/>
    </xf>
    <xf numFmtId="165" fontId="9" fillId="5" borderId="2" applyAlignment="1" pivotButton="0" quotePrefix="0" xfId="2">
      <alignment vertical="center"/>
    </xf>
    <xf numFmtId="165" fontId="2" fillId="0" borderId="0" applyAlignment="1" pivotButton="0" quotePrefix="0" xfId="2">
      <alignment vertical="center"/>
    </xf>
    <xf numFmtId="171" fontId="8" fillId="0" borderId="2" applyAlignment="1" pivotButton="0" quotePrefix="0" xfId="2">
      <alignment vertical="center"/>
    </xf>
    <xf numFmtId="165" fontId="5" fillId="6" borderId="2" applyAlignment="1" applyProtection="1" pivotButton="0" quotePrefix="0" xfId="0">
      <alignment horizontal="right" vertical="center" indent="1"/>
      <protection locked="0" hidden="0"/>
    </xf>
    <xf numFmtId="170" fontId="9" fillId="5" borderId="2" applyAlignment="1" applyProtection="1" pivotButton="0" quotePrefix="0" xfId="1">
      <alignment vertical="center"/>
      <protection locked="0" hidden="0"/>
    </xf>
    <xf numFmtId="10" fontId="2" fillId="0" borderId="0" applyAlignment="1" pivotButton="0" quotePrefix="0" xfId="1">
      <alignment vertical="center"/>
    </xf>
    <xf numFmtId="165" fontId="9" fillId="5" borderId="2" applyAlignment="1" applyProtection="1" pivotButton="0" quotePrefix="0" xfId="2">
      <alignment vertical="center"/>
      <protection locked="0" hidden="0"/>
    </xf>
    <xf numFmtId="165" fontId="2" fillId="0" borderId="0" applyAlignment="1" pivotButton="0" quotePrefix="0" xfId="0">
      <alignment vertical="center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2" applyAlignment="1" pivotButton="0" quotePrefix="0" xfId="0">
      <alignment horizontal="center" vertical="center"/>
    </xf>
    <xf numFmtId="172" fontId="2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5" fillId="0" borderId="4" applyAlignment="1" pivotButton="0" quotePrefix="0" xfId="0">
      <alignment vertical="center"/>
    </xf>
    <xf numFmtId="165" fontId="6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165" fontId="6" fillId="0" borderId="7" applyAlignment="1" pivotButton="0" quotePrefix="0" xfId="0">
      <alignment vertical="center"/>
    </xf>
    <xf numFmtId="2" fontId="6" fillId="0" borderId="7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166" fontId="6" fillId="0" borderId="9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2" fontId="6" fillId="0" borderId="11" pivotButton="0" quotePrefix="0" xfId="0"/>
    <xf numFmtId="0" fontId="2" fillId="0" borderId="12" applyAlignment="1" pivotButton="0" quotePrefix="0" xfId="0">
      <alignment vertical="center"/>
    </xf>
    <xf numFmtId="2" fontId="6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2" fontId="6" fillId="0" borderId="1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4" applyAlignment="1" pivotButton="0" quotePrefix="0" xfId="0">
      <alignment vertical="center" wrapText="1"/>
    </xf>
    <xf numFmtId="165" fontId="2" fillId="0" borderId="16" applyAlignment="1" pivotButton="0" quotePrefix="0" xfId="2">
      <alignment vertical="center"/>
    </xf>
    <xf numFmtId="0" fontId="12" fillId="0" borderId="16" applyAlignment="1" pivotButton="0" quotePrefix="0" xfId="0">
      <alignment vertical="center"/>
    </xf>
    <xf numFmtId="165" fontId="2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 wrapText="1"/>
    </xf>
    <xf numFmtId="0" fontId="14" fillId="0" borderId="2" applyAlignment="1" pivotButton="0" quotePrefix="0" xfId="0">
      <alignment vertical="center"/>
    </xf>
    <xf numFmtId="165" fontId="15" fillId="0" borderId="7" applyAlignment="1" pivotButton="0" quotePrefix="0" xfId="2">
      <alignment vertical="center"/>
    </xf>
    <xf numFmtId="0" fontId="16" fillId="0" borderId="2" applyAlignment="1" pivotButton="0" quotePrefix="0" xfId="0">
      <alignment vertical="center"/>
    </xf>
    <xf numFmtId="165" fontId="17" fillId="0" borderId="7" applyAlignment="1" pivotButton="0" quotePrefix="0" xfId="0">
      <alignment vertical="center"/>
    </xf>
    <xf numFmtId="9" fontId="2" fillId="0" borderId="2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165" fontId="18" fillId="0" borderId="7" applyAlignment="1" pivotButton="0" quotePrefix="0" xfId="0">
      <alignment vertical="center"/>
    </xf>
    <xf numFmtId="170" fontId="2" fillId="0" borderId="2" applyAlignment="1" pivotButton="0" quotePrefix="0" xfId="1">
      <alignment vertical="center"/>
    </xf>
    <xf numFmtId="0" fontId="2" fillId="0" borderId="2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19" fillId="0" borderId="6" applyAlignment="1" pivotButton="0" quotePrefix="0" xfId="0">
      <alignment vertical="center" wrapText="1"/>
    </xf>
    <xf numFmtId="9" fontId="2" fillId="0" borderId="2" applyAlignment="1" pivotButton="0" quotePrefix="0" xfId="1">
      <alignment vertical="center"/>
    </xf>
    <xf numFmtId="0" fontId="5" fillId="0" borderId="8" applyAlignment="1" pivotButton="0" quotePrefix="0" xfId="0">
      <alignment vertical="center" wrapText="1"/>
    </xf>
    <xf numFmtId="165" fontId="2" fillId="0" borderId="17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0" fillId="0" borderId="0" pivotButton="0" quotePrefix="0" xfId="0"/>
    <xf numFmtId="0" fontId="21" fillId="0" borderId="0" pivotButton="0" quotePrefix="0" xfId="0"/>
    <xf numFmtId="1" fontId="22" fillId="5" borderId="0" pivotButton="0" quotePrefix="0" xfId="0"/>
    <xf numFmtId="3" fontId="22" fillId="5" borderId="0" pivotButton="0" quotePrefix="0" xfId="0"/>
    <xf numFmtId="0" fontId="23" fillId="0" borderId="0" pivotButton="0" quotePrefix="0" xfId="0"/>
    <xf numFmtId="0" fontId="25" fillId="0" borderId="0" applyAlignment="1" pivotButton="0" quotePrefix="0" xfId="0">
      <alignment horizontal="center" vertical="center" wrapText="1"/>
    </xf>
    <xf numFmtId="0" fontId="14" fillId="0" borderId="4" applyAlignment="1" pivotButton="0" quotePrefix="0" xfId="0">
      <alignment vertical="center"/>
    </xf>
    <xf numFmtId="3" fontId="6" fillId="0" borderId="5" applyAlignment="1" pivotButton="0" quotePrefix="0" xfId="2">
      <alignment vertical="center"/>
    </xf>
    <xf numFmtId="165" fontId="2" fillId="0" borderId="7" applyAlignment="1" pivotButton="0" quotePrefix="0" xfId="0">
      <alignment vertical="center"/>
    </xf>
    <xf numFmtId="165" fontId="2" fillId="0" borderId="7" applyAlignment="1" pivotButton="0" quotePrefix="0" xfId="0">
      <alignment horizontal="right" vertical="center"/>
    </xf>
    <xf numFmtId="3" fontId="2" fillId="0" borderId="7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3" fontId="6" fillId="0" borderId="0" pivotButton="0" quotePrefix="0" xfId="0"/>
    <xf numFmtId="170" fontId="2" fillId="0" borderId="0" pivotButton="0" quotePrefix="0" xfId="0"/>
    <xf numFmtId="0" fontId="26" fillId="0" borderId="10" applyAlignment="1" pivotButton="0" quotePrefix="0" xfId="0">
      <alignment vertical="center"/>
    </xf>
    <xf numFmtId="3" fontId="27" fillId="0" borderId="11" applyAlignment="1" pivotButton="0" quotePrefix="0" xfId="2">
      <alignment vertical="center"/>
    </xf>
    <xf numFmtId="0" fontId="5" fillId="0" borderId="12" applyAlignment="1" pivotButton="0" quotePrefix="0" xfId="0">
      <alignment vertical="center"/>
    </xf>
    <xf numFmtId="165" fontId="2" fillId="0" borderId="13" applyAlignment="1" pivotButton="0" quotePrefix="0" xfId="0">
      <alignment vertical="center"/>
    </xf>
    <xf numFmtId="165" fontId="2" fillId="0" borderId="13" applyAlignment="1" pivotButton="0" quotePrefix="0" xfId="0">
      <alignment horizontal="right" vertical="center"/>
    </xf>
    <xf numFmtId="3" fontId="2" fillId="0" borderId="13" applyAlignment="1" pivotButton="0" quotePrefix="0" xfId="0">
      <alignment horizontal="right" vertical="center"/>
    </xf>
    <xf numFmtId="0" fontId="24" fillId="0" borderId="0" pivotButton="0" quotePrefix="0" xfId="0"/>
    <xf numFmtId="170" fontId="23" fillId="0" borderId="0" pivotButton="0" quotePrefix="0" xfId="0"/>
    <xf numFmtId="170" fontId="23" fillId="0" borderId="0" applyAlignment="1" pivotButton="0" quotePrefix="0" xfId="0">
      <alignment vertical="center"/>
    </xf>
    <xf numFmtId="0" fontId="5" fillId="0" borderId="14" pivotButton="0" quotePrefix="0" xfId="0"/>
    <xf numFmtId="0" fontId="22" fillId="5" borderId="15" pivotButton="0" quotePrefix="0" xfId="0"/>
    <xf numFmtId="3" fontId="23" fillId="0" borderId="0" pivotButton="0" quotePrefix="0" xfId="0"/>
    <xf numFmtId="0" fontId="21" fillId="7" borderId="0" applyAlignment="1" pivotButton="0" quotePrefix="0" xfId="0">
      <alignment horizontal="center"/>
    </xf>
    <xf numFmtId="0" fontId="21" fillId="8" borderId="0" applyAlignment="1" pivotButton="0" quotePrefix="0" xfId="0">
      <alignment horizontal="center"/>
    </xf>
    <xf numFmtId="0" fontId="5" fillId="0" borderId="0" pivotButton="0" quotePrefix="0" xfId="0"/>
    <xf numFmtId="170" fontId="22" fillId="5" borderId="0" pivotButton="0" quotePrefix="0" xfId="0"/>
    <xf numFmtId="0" fontId="28" fillId="0" borderId="0" pivotButton="0" quotePrefix="0" xfId="0"/>
    <xf numFmtId="3" fontId="2" fillId="0" borderId="0" pivotButton="0" quotePrefix="0" xfId="0"/>
    <xf numFmtId="0" fontId="29" fillId="0" borderId="0" pivotButton="0" quotePrefix="0" xfId="0"/>
    <xf numFmtId="3" fontId="27" fillId="0" borderId="18" pivotButton="0" quotePrefix="0" xfId="0"/>
    <xf numFmtId="3" fontId="27" fillId="0" borderId="0" pivotButton="0" quotePrefix="0" xfId="0"/>
    <xf numFmtId="168" fontId="29" fillId="0" borderId="0" pivotButton="0" quotePrefix="0" xfId="0"/>
    <xf numFmtId="0" fontId="33" fillId="6" borderId="2" applyAlignment="1" applyProtection="1" pivotButton="0" quotePrefix="0" xfId="0">
      <alignment horizontal="right" vertical="center" indent="1"/>
      <protection locked="0" hidden="0"/>
    </xf>
    <xf numFmtId="171" fontId="2" fillId="0" borderId="0" applyAlignment="1" pivotButton="0" quotePrefix="0" xfId="0">
      <alignment vertical="center"/>
    </xf>
    <xf numFmtId="165" fontId="2" fillId="0" borderId="0" pivotButton="0" quotePrefix="0" xfId="0"/>
    <xf numFmtId="0" fontId="1" fillId="4" borderId="2" applyAlignment="1" applyProtection="1" pivotButton="0" quotePrefix="0" xfId="0">
      <alignment horizontal="right" vertical="center" indent="1"/>
      <protection locked="0" hidden="0"/>
    </xf>
    <xf numFmtId="0" fontId="1" fillId="0" borderId="19" pivotButton="0" quotePrefix="0" xfId="0"/>
    <xf numFmtId="0" fontId="2" fillId="0" borderId="20" pivotButton="0" quotePrefix="0" xfId="0"/>
    <xf numFmtId="0" fontId="1" fillId="0" borderId="21" pivotButton="0" quotePrefix="0" xfId="0"/>
    <xf numFmtId="0" fontId="2" fillId="0" borderId="22" pivotButton="0" quotePrefix="0" xfId="0"/>
    <xf numFmtId="0" fontId="1" fillId="0" borderId="23" pivotButton="0" quotePrefix="0" xfId="0"/>
    <xf numFmtId="0" fontId="2" fillId="0" borderId="24" pivotButton="0" quotePrefix="0" xfId="0"/>
    <xf numFmtId="173" fontId="2" fillId="0" borderId="0" pivotButton="0" quotePrefix="0" xfId="0"/>
    <xf numFmtId="165" fontId="1" fillId="0" borderId="2" applyAlignment="1" pivotButton="0" quotePrefix="0" xfId="2">
      <alignment vertical="center"/>
    </xf>
    <xf numFmtId="165" fontId="1" fillId="0" borderId="2" applyAlignment="1" pivotButton="0" quotePrefix="0" xfId="0">
      <alignment vertical="center"/>
    </xf>
    <xf numFmtId="9" fontId="1" fillId="5" borderId="2" applyAlignment="1" applyProtection="1" pivotButton="0" quotePrefix="0" xfId="1">
      <alignment vertical="center"/>
      <protection locked="0" hidden="0"/>
    </xf>
    <xf numFmtId="170" fontId="1" fillId="5" borderId="2" applyAlignment="1" applyProtection="1" pivotButton="0" quotePrefix="0" xfId="1">
      <alignment vertical="center"/>
      <protection locked="0" hidden="0"/>
    </xf>
    <xf numFmtId="165" fontId="1" fillId="0" borderId="2" applyAlignment="1" pivotButton="0" quotePrefix="0" xfId="0">
      <alignment horizontal="right" vertical="center"/>
    </xf>
    <xf numFmtId="172" fontId="1" fillId="0" borderId="2" applyAlignment="1" pivotButton="0" quotePrefix="0" xfId="0">
      <alignment horizontal="right" indent="2"/>
    </xf>
    <xf numFmtId="165" fontId="1" fillId="0" borderId="2" applyAlignment="1" pivotButton="0" quotePrefix="0" xfId="1">
      <alignment vertical="center"/>
    </xf>
    <xf numFmtId="0" fontId="1" fillId="0" borderId="3" applyAlignment="1" pivotButton="0" quotePrefix="0" xfId="0">
      <alignment vertical="center"/>
    </xf>
    <xf numFmtId="10" fontId="1" fillId="0" borderId="2" applyAlignment="1" pivotButton="0" quotePrefix="0" xfId="0">
      <alignment vertical="center"/>
    </xf>
    <xf numFmtId="10" fontId="1" fillId="0" borderId="0" applyAlignment="1" pivotButton="0" quotePrefix="0" xfId="1">
      <alignment vertical="center"/>
    </xf>
    <xf numFmtId="174" fontId="1" fillId="0" borderId="2" applyAlignment="1" pivotButton="0" quotePrefix="0" xfId="2">
      <alignment vertical="center"/>
    </xf>
    <xf numFmtId="171" fontId="1" fillId="0" borderId="2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horizontal="left" vertical="center" indent="1"/>
      <protection locked="0" hidden="0"/>
    </xf>
    <xf numFmtId="0" fontId="32" fillId="0" borderId="2" applyAlignment="1" applyProtection="1" pivotButton="0" quotePrefix="0" xfId="0">
      <alignment horizontal="left" vertical="center" indent="1"/>
      <protection locked="0" hidden="0"/>
    </xf>
    <xf numFmtId="0" fontId="7" fillId="0" borderId="2" applyAlignment="1" applyProtection="1" pivotButton="0" quotePrefix="0" xfId="0">
      <alignment horizontal="left" vertical="center" indent="1"/>
      <protection locked="0" hidden="0"/>
    </xf>
    <xf numFmtId="0" fontId="0" fillId="0" borderId="0" pivotButton="0" quotePrefix="0" xfId="0"/>
    <xf numFmtId="0" fontId="0" fillId="0" borderId="27" pivotButton="0" quotePrefix="0" xfId="0"/>
    <xf numFmtId="164" fontId="6" fillId="0" borderId="2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165" fontId="1" fillId="0" borderId="2" applyAlignment="1" pivotButton="0" quotePrefix="0" xfId="2">
      <alignment vertical="center"/>
    </xf>
    <xf numFmtId="165" fontId="1" fillId="0" borderId="2" applyAlignment="1" pivotButton="0" quotePrefix="0" xfId="0">
      <alignment vertical="center"/>
    </xf>
    <xf numFmtId="166" fontId="6" fillId="0" borderId="2" applyAlignment="1" applyProtection="1" pivotButton="0" quotePrefix="0" xfId="0">
      <alignment horizontal="center" vertical="center"/>
      <protection locked="0" hidden="0"/>
    </xf>
    <xf numFmtId="164" fontId="2" fillId="5" borderId="2" applyAlignment="1" pivotButton="0" quotePrefix="0" xfId="0">
      <alignment horizontal="center" vertical="center"/>
    </xf>
    <xf numFmtId="170" fontId="1" fillId="5" borderId="2" applyAlignment="1" applyProtection="1" pivotButton="0" quotePrefix="0" xfId="1">
      <alignment vertical="center"/>
      <protection locked="0" hidden="0"/>
    </xf>
    <xf numFmtId="165" fontId="6" fillId="0" borderId="2" applyAlignment="1" applyProtection="1" pivotButton="0" quotePrefix="0" xfId="2">
      <alignment vertical="center"/>
      <protection locked="0" hidden="0"/>
    </xf>
    <xf numFmtId="165" fontId="1" fillId="0" borderId="2" applyAlignment="1" pivotButton="0" quotePrefix="0" xfId="0">
      <alignment horizontal="right" vertical="center"/>
    </xf>
    <xf numFmtId="165" fontId="2" fillId="0" borderId="0" pivotButton="0" quotePrefix="0" xfId="0"/>
    <xf numFmtId="167" fontId="2" fillId="0" borderId="0" applyAlignment="1" pivotButton="0" quotePrefix="0" xfId="0">
      <alignment vertical="center"/>
    </xf>
    <xf numFmtId="172" fontId="1" fillId="0" borderId="2" applyAlignment="1" pivotButton="0" quotePrefix="0" xfId="0">
      <alignment horizontal="right" indent="2"/>
    </xf>
    <xf numFmtId="173" fontId="2" fillId="0" borderId="0" pivotButton="0" quotePrefix="0" xfId="0"/>
    <xf numFmtId="164" fontId="6" fillId="0" borderId="2" applyAlignment="1" applyProtection="1" pivotButton="0" quotePrefix="0" xfId="0">
      <alignment horizontal="left" vertical="center" indent="2"/>
      <protection locked="0" hidden="0"/>
    </xf>
    <xf numFmtId="168" fontId="6" fillId="5" borderId="2" applyAlignment="1" applyProtection="1" pivotButton="0" quotePrefix="0" xfId="1">
      <alignment vertical="center"/>
      <protection locked="0" hidden="0"/>
    </xf>
    <xf numFmtId="165" fontId="8" fillId="0" borderId="2" applyAlignment="1" pivotButton="0" quotePrefix="0" xfId="0">
      <alignment vertical="center"/>
    </xf>
    <xf numFmtId="165" fontId="2" fillId="5" borderId="2" applyAlignment="1" applyProtection="1" pivotButton="0" quotePrefix="0" xfId="2">
      <alignment vertical="center"/>
      <protection locked="0" hidden="0"/>
    </xf>
    <xf numFmtId="169" fontId="2" fillId="0" borderId="0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5" fontId="9" fillId="0" borderId="2" applyAlignment="1" pivotButton="0" quotePrefix="0" xfId="0">
      <alignment vertical="center"/>
    </xf>
    <xf numFmtId="170" fontId="11" fillId="0" borderId="2" applyAlignment="1" pivotButton="0" quotePrefix="0" xfId="1">
      <alignment vertical="center"/>
    </xf>
    <xf numFmtId="165" fontId="9" fillId="5" borderId="2" applyAlignment="1" pivotButton="0" quotePrefix="0" xfId="2">
      <alignment vertical="center"/>
    </xf>
    <xf numFmtId="165" fontId="2" fillId="0" borderId="2" applyAlignment="1" pivotButton="0" quotePrefix="0" xfId="2">
      <alignment vertical="center"/>
    </xf>
    <xf numFmtId="165" fontId="2" fillId="0" borderId="0" applyAlignment="1" pivotButton="0" quotePrefix="0" xfId="2">
      <alignment vertical="center"/>
    </xf>
    <xf numFmtId="171" fontId="8" fillId="0" borderId="2" applyAlignment="1" pivotButton="0" quotePrefix="0" xfId="2">
      <alignment vertical="center"/>
    </xf>
    <xf numFmtId="165" fontId="5" fillId="6" borderId="2" applyAlignment="1" applyProtection="1" pivotButton="0" quotePrefix="0" xfId="0">
      <alignment horizontal="right" vertical="center" indent="1"/>
      <protection locked="0" hidden="0"/>
    </xf>
    <xf numFmtId="165" fontId="1" fillId="0" borderId="2" applyAlignment="1" pivotButton="0" quotePrefix="0" xfId="1">
      <alignment vertical="center"/>
    </xf>
    <xf numFmtId="170" fontId="9" fillId="5" borderId="2" applyAlignment="1" applyProtection="1" pivotButton="0" quotePrefix="0" xfId="1">
      <alignment vertical="center"/>
      <protection locked="0" hidden="0"/>
    </xf>
    <xf numFmtId="165" fontId="9" fillId="5" borderId="2" applyAlignment="1" applyProtection="1" pivotButton="0" quotePrefix="0" xfId="2">
      <alignment vertical="center"/>
      <protection locked="0" hidden="0"/>
    </xf>
    <xf numFmtId="165" fontId="2" fillId="0" borderId="0" applyAlignment="1" pivotButton="0" quotePrefix="0" xfId="0">
      <alignment vertical="center"/>
    </xf>
    <xf numFmtId="172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74" fontId="1" fillId="0" borderId="2" applyAlignment="1" pivotButton="0" quotePrefix="0" xfId="2">
      <alignment vertical="center"/>
    </xf>
    <xf numFmtId="171" fontId="1" fillId="0" borderId="2" applyAlignment="1" pivotButton="0" quotePrefix="0" xfId="0">
      <alignment vertical="center"/>
    </xf>
    <xf numFmtId="165" fontId="6" fillId="0" borderId="5" applyAlignment="1" pivotButton="0" quotePrefix="0" xfId="0">
      <alignment vertical="center"/>
    </xf>
    <xf numFmtId="165" fontId="6" fillId="0" borderId="7" applyAlignment="1" pivotButton="0" quotePrefix="0" xfId="0">
      <alignment vertical="center"/>
    </xf>
    <xf numFmtId="166" fontId="6" fillId="0" borderId="9" applyAlignment="1" pivotButton="0" quotePrefix="0" xfId="0">
      <alignment vertical="center"/>
    </xf>
    <xf numFmtId="165" fontId="2" fillId="0" borderId="16" applyAlignment="1" pivotButton="0" quotePrefix="0" xfId="2">
      <alignment vertical="center"/>
    </xf>
    <xf numFmtId="165" fontId="2" fillId="0" borderId="5" applyAlignment="1" pivotButton="0" quotePrefix="0" xfId="0">
      <alignment vertical="center"/>
    </xf>
    <xf numFmtId="165" fontId="15" fillId="0" borderId="7" applyAlignment="1" pivotButton="0" quotePrefix="0" xfId="2">
      <alignment vertical="center"/>
    </xf>
    <xf numFmtId="165" fontId="17" fillId="0" borderId="7" applyAlignment="1" pivotButton="0" quotePrefix="0" xfId="0">
      <alignment vertical="center"/>
    </xf>
    <xf numFmtId="165" fontId="18" fillId="0" borderId="7" applyAlignment="1" pivotButton="0" quotePrefix="0" xfId="0">
      <alignment vertical="center"/>
    </xf>
    <xf numFmtId="170" fontId="2" fillId="0" borderId="2" applyAlignment="1" pivotButton="0" quotePrefix="0" xfId="1">
      <alignment vertical="center"/>
    </xf>
    <xf numFmtId="165" fontId="2" fillId="0" borderId="17" applyAlignment="1" pivotButton="0" quotePrefix="0" xfId="0">
      <alignment vertical="center"/>
    </xf>
    <xf numFmtId="165" fontId="2" fillId="0" borderId="7" applyAlignment="1" pivotButton="0" quotePrefix="0" xfId="0">
      <alignment vertical="center"/>
    </xf>
    <xf numFmtId="165" fontId="2" fillId="0" borderId="7" applyAlignment="1" pivotButton="0" quotePrefix="0" xfId="0">
      <alignment horizontal="right" vertical="center"/>
    </xf>
    <xf numFmtId="170" fontId="2" fillId="0" borderId="0" pivotButton="0" quotePrefix="0" xfId="0"/>
    <xf numFmtId="165" fontId="2" fillId="0" borderId="13" applyAlignment="1" pivotButton="0" quotePrefix="0" xfId="0">
      <alignment vertical="center"/>
    </xf>
    <xf numFmtId="165" fontId="2" fillId="0" borderId="13" applyAlignment="1" pivotButton="0" quotePrefix="0" xfId="0">
      <alignment horizontal="right" vertical="center"/>
    </xf>
    <xf numFmtId="170" fontId="23" fillId="0" borderId="0" pivotButton="0" quotePrefix="0" xfId="0"/>
    <xf numFmtId="170" fontId="23" fillId="0" borderId="0" applyAlignment="1" pivotButton="0" quotePrefix="0" xfId="0">
      <alignment vertical="center"/>
    </xf>
    <xf numFmtId="170" fontId="22" fillId="5" borderId="0" pivotButton="0" quotePrefix="0" xfId="0"/>
    <xf numFmtId="168" fontId="29" fillId="0" borderId="0" pivotButton="0" quotePrefix="0" xfId="0"/>
  </cellXfs>
  <cellStyles count="3">
    <cellStyle name="표준" xfId="0" builtinId="0"/>
    <cellStyle name="백분율" xfId="1" builtinId="5"/>
    <cellStyle name="Excel Built-in Comma [0]" xfId="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DAEEF3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767171"/>
      <rgbColor rgb="FF969696"/>
      <rgbColor rgb="FF002060"/>
      <rgbColor rgb="FF339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tabSelected="1" zoomScaleNormal="100" workbookViewId="0">
      <selection activeCell="E25" sqref="E25"/>
    </sheetView>
  </sheetViews>
  <sheetFormatPr baseColWidth="8" defaultColWidth="8.5" defaultRowHeight="17.4"/>
  <cols>
    <col width="8.5" customWidth="1" style="1" min="1" max="1"/>
    <col width="22.296875" customWidth="1" style="2" min="2" max="2"/>
    <col width="19.5" customWidth="1" style="2" min="3" max="3"/>
    <col width="33" customWidth="1" style="2" min="4" max="4"/>
    <col width="15.19921875" customWidth="1" style="2" min="5" max="5"/>
    <col width="42.19921875" customWidth="1" style="2" min="6" max="6"/>
    <col width="19.19921875" customWidth="1" style="2" min="7" max="7"/>
    <col width="8.5" customWidth="1" style="1" min="8" max="8"/>
    <col width="12.69921875" bestFit="1" customWidth="1" style="2" min="9" max="9"/>
    <col width="15.8984375" customWidth="1" style="2" min="10" max="10"/>
    <col width="8.5" customWidth="1" style="1" min="11" max="11"/>
    <col width="14.3984375" customWidth="1" style="2" min="12" max="12"/>
    <col width="8.5" customWidth="1" style="1" min="13" max="16384"/>
  </cols>
  <sheetData>
    <row r="1" ht="33" customHeight="1" s="138">
      <c r="A1" s="3" t="n"/>
      <c r="B1" s="134" t="inlineStr">
        <is>
          <t>NPL 투자수익률 계산기</t>
        </is>
      </c>
      <c r="C1" s="139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16.5" customHeight="1" s="138">
      <c r="A2" s="3" t="n"/>
      <c r="B2" s="3" t="n"/>
      <c r="C2" s="3" t="n"/>
      <c r="D2" s="3" t="n"/>
      <c r="E2" s="3" t="n"/>
      <c r="F2" s="4" t="inlineStr">
        <is>
          <t>매각기일</t>
        </is>
      </c>
      <c r="G2" s="140">
        <f>G3+365</f>
        <v/>
      </c>
      <c r="H2" s="3" t="n"/>
      <c r="I2" s="3" t="n"/>
      <c r="J2" s="3" t="n"/>
      <c r="K2" s="3" t="n"/>
      <c r="L2" s="3" t="n"/>
    </row>
    <row r="3" ht="16.5" customHeight="1" s="138">
      <c r="A3" s="3" t="n"/>
      <c r="B3" s="6" t="inlineStr">
        <is>
          <t>사건번호</t>
        </is>
      </c>
      <c r="C3" s="135" t="n"/>
      <c r="D3" s="141" t="n"/>
      <c r="E3" s="142" t="n"/>
      <c r="F3" s="4" t="inlineStr">
        <is>
          <t>채권매입예상일</t>
        </is>
      </c>
      <c r="G3" s="140">
        <f>TODAY()+365</f>
        <v/>
      </c>
      <c r="H3" s="3" t="n"/>
      <c r="I3" s="3" t="n"/>
      <c r="J3" s="3" t="n"/>
      <c r="K3" s="3" t="n"/>
      <c r="L3" s="3" t="n"/>
    </row>
    <row r="4" ht="16.5" customHeight="1" s="138">
      <c r="A4" s="3" t="n"/>
      <c r="B4" s="6" t="inlineStr">
        <is>
          <t>주소</t>
        </is>
      </c>
      <c r="C4" s="136" t="n"/>
      <c r="D4" s="141" t="n"/>
      <c r="E4" s="142" t="n"/>
      <c r="F4" s="4" t="inlineStr">
        <is>
          <t>투자기간(일)</t>
        </is>
      </c>
      <c r="G4" s="143">
        <f>DATEDIF(G3,E7,"D")</f>
        <v/>
      </c>
      <c r="H4" s="3" t="n"/>
      <c r="I4" s="3" t="n"/>
      <c r="J4" s="3" t="n"/>
      <c r="K4" s="3" t="n"/>
      <c r="L4" s="3" t="n"/>
    </row>
    <row r="5" ht="16.5" customHeight="1" s="138">
      <c r="A5" s="3" t="n"/>
      <c r="B5" s="114" t="inlineStr">
        <is>
          <t>용도</t>
        </is>
      </c>
      <c r="C5" s="8" t="n"/>
      <c r="D5" s="6" t="inlineStr">
        <is>
          <t>지목</t>
        </is>
      </c>
      <c r="E5" s="8" t="n"/>
      <c r="F5" s="4" t="inlineStr">
        <is>
          <t>근저당이전비용</t>
        </is>
      </c>
      <c r="G5" s="144">
        <f>E8*C22+C24+E8*C23</f>
        <v/>
      </c>
      <c r="H5" s="3" t="n"/>
      <c r="I5" s="3" t="n"/>
      <c r="J5" s="3" t="n"/>
      <c r="K5" s="3" t="n"/>
      <c r="L5" s="3" t="n"/>
    </row>
    <row r="6" ht="16.5" customHeight="1" s="138">
      <c r="A6" s="3" t="n"/>
      <c r="B6" s="6" t="inlineStr">
        <is>
          <t>토지면적</t>
        </is>
      </c>
      <c r="C6" s="145" t="n"/>
      <c r="D6" s="4" t="inlineStr">
        <is>
          <t>경매개시일</t>
        </is>
      </c>
      <c r="E6" s="140" t="n"/>
      <c r="F6" s="4" t="inlineStr">
        <is>
          <t>질권대출LTV</t>
        </is>
      </c>
      <c r="G6" s="124" t="n">
        <v>0.75</v>
      </c>
      <c r="H6" s="3" t="n"/>
      <c r="I6" s="3" t="n"/>
      <c r="J6" s="3" t="n"/>
      <c r="K6" s="3" t="n"/>
      <c r="L6" s="3" t="n"/>
    </row>
    <row r="7" ht="16.5" customHeight="1" s="138">
      <c r="A7" s="3" t="n"/>
      <c r="B7" s="6" t="inlineStr">
        <is>
          <t>건물면적</t>
        </is>
      </c>
      <c r="C7" s="12" t="n"/>
      <c r="D7" s="4" t="inlineStr">
        <is>
          <t>예상배당일</t>
        </is>
      </c>
      <c r="E7" s="146">
        <f>G2+45</f>
        <v/>
      </c>
      <c r="F7" s="4" t="inlineStr">
        <is>
          <t>질권대출금리</t>
        </is>
      </c>
      <c r="G7" s="147" t="n">
        <v>0.0613</v>
      </c>
      <c r="H7" s="3" t="n"/>
      <c r="I7" s="3" t="n"/>
      <c r="J7" s="3" t="n"/>
      <c r="K7" s="3" t="n"/>
      <c r="L7" s="3" t="n"/>
    </row>
    <row r="8" ht="16.5" customHeight="1" s="138">
      <c r="A8" s="3" t="n"/>
      <c r="B8" s="6" t="inlineStr">
        <is>
          <t>채권은행</t>
        </is>
      </c>
      <c r="C8" s="8" t="n"/>
      <c r="D8" s="4" t="inlineStr">
        <is>
          <t>채권최고액</t>
        </is>
      </c>
      <c r="E8" s="148" t="n"/>
      <c r="F8" s="4" t="inlineStr">
        <is>
          <t>질권대출금액</t>
        </is>
      </c>
      <c r="G8" s="149">
        <f>E20*G6</f>
        <v/>
      </c>
      <c r="H8" s="3" t="n"/>
      <c r="I8" s="150" t="n"/>
      <c r="J8" s="151" t="n"/>
      <c r="K8" s="3" t="n"/>
      <c r="L8" s="3" t="n"/>
    </row>
    <row r="9" ht="16.5" customHeight="1" s="138">
      <c r="A9" s="3" t="n"/>
      <c r="B9" s="6" t="inlineStr">
        <is>
          <t>담당자</t>
        </is>
      </c>
      <c r="C9" s="8" t="n"/>
      <c r="D9" s="4" t="inlineStr">
        <is>
          <t>원금</t>
        </is>
      </c>
      <c r="E9" s="148" t="n"/>
      <c r="F9" s="4" t="inlineStr">
        <is>
          <t>근질권설정비용</t>
        </is>
      </c>
      <c r="G9" s="152">
        <f>IF(G6=0, 0, G8*1.3*C25+C24+350000)</f>
        <v/>
      </c>
      <c r="H9" s="3" t="n"/>
      <c r="I9" s="3" t="n"/>
      <c r="J9" s="153">
        <f>G8*1.3</f>
        <v/>
      </c>
      <c r="K9" s="3" t="n"/>
      <c r="L9" s="3" t="n"/>
    </row>
    <row r="10" ht="16.5" customHeight="1" s="138">
      <c r="A10" s="3" t="n"/>
      <c r="B10" s="6" t="inlineStr">
        <is>
          <t>연락처</t>
        </is>
      </c>
      <c r="C10" s="16" t="n"/>
      <c r="D10" s="4" t="inlineStr">
        <is>
          <t>연체이자(기준일자)</t>
        </is>
      </c>
      <c r="E10" s="148" t="n"/>
      <c r="F10" s="4" t="inlineStr">
        <is>
          <t>총근질권대출이자</t>
        </is>
      </c>
      <c r="G10" s="149">
        <f>G8*G7/365*DATEDIF(G3,E7,"D")</f>
        <v/>
      </c>
      <c r="H10" s="3" t="n"/>
      <c r="I10" s="3" t="n"/>
      <c r="J10" s="3" t="n"/>
      <c r="K10" s="3" t="n"/>
      <c r="L10" s="3" t="n"/>
    </row>
    <row r="11" ht="16.5" customHeight="1" s="138">
      <c r="A11" s="3" t="n"/>
      <c r="B11" s="6" t="inlineStr">
        <is>
          <t>기준일시</t>
        </is>
      </c>
      <c r="C11" s="154" t="n"/>
      <c r="D11" s="4" t="inlineStr">
        <is>
          <t>연체금리</t>
        </is>
      </c>
      <c r="E11" s="155" t="n"/>
      <c r="F11" s="4" t="inlineStr">
        <is>
          <t>초기투자금(계약시)</t>
        </is>
      </c>
      <c r="G11" s="156">
        <f>E20+G5+G9-G8+C17</f>
        <v/>
      </c>
      <c r="H11" s="3" t="n"/>
      <c r="I11" s="3" t="n"/>
      <c r="J11" s="3" t="n"/>
      <c r="K11" s="3" t="n"/>
      <c r="L11" s="3" t="n"/>
    </row>
    <row r="12" ht="16.5" customHeight="1" s="138">
      <c r="A12" s="3" t="n"/>
      <c r="B12" s="6" t="inlineStr">
        <is>
          <t>소유자/채무자</t>
        </is>
      </c>
      <c r="C12" s="8" t="n"/>
      <c r="D12" s="4" t="inlineStr">
        <is>
          <t>추가연체이자</t>
        </is>
      </c>
      <c r="E12" s="157">
        <f>E9*E11/365*DATEDIF(C11,E7,"D")</f>
        <v/>
      </c>
      <c r="F12" s="4" t="inlineStr">
        <is>
          <t>총투자금(근질권대출이자포함)</t>
        </is>
      </c>
      <c r="G12" s="156">
        <f>G11+G10</f>
        <v/>
      </c>
      <c r="H12" s="3" t="n"/>
      <c r="I12" s="3" t="n"/>
      <c r="J12" s="158" t="n"/>
      <c r="K12" s="3" t="n"/>
      <c r="L12" s="3" t="n"/>
    </row>
    <row r="13" ht="16.5" customHeight="1" s="138">
      <c r="A13" s="3" t="n"/>
      <c r="B13" s="4" t="inlineStr">
        <is>
          <t>감정평가금액</t>
        </is>
      </c>
      <c r="C13" s="148" t="n"/>
      <c r="D13" s="4" t="inlineStr">
        <is>
          <t>연체이자총액</t>
        </is>
      </c>
      <c r="E13" s="159">
        <f>E10+E12</f>
        <v/>
      </c>
      <c r="F13" s="4" t="inlineStr">
        <is>
          <t>총수익금</t>
        </is>
      </c>
      <c r="G13" s="160">
        <f>E16-G12-G8+C17</f>
        <v/>
      </c>
      <c r="H13" s="3" t="n"/>
      <c r="I13" s="3" t="n"/>
      <c r="J13" s="3" t="n"/>
      <c r="K13" s="3" t="n"/>
      <c r="L13" s="3" t="n"/>
    </row>
    <row r="14" ht="17.25" customHeight="1" s="138">
      <c r="A14" s="3" t="n"/>
      <c r="B14" s="4" t="inlineStr">
        <is>
          <t>예상낙찰가율</t>
        </is>
      </c>
      <c r="C14" s="23" t="n">
        <v>0.7</v>
      </c>
      <c r="D14" s="4" t="inlineStr">
        <is>
          <t>예상권리가액</t>
        </is>
      </c>
      <c r="E14" s="159">
        <f>MIN(E8,E9+E13)</f>
        <v/>
      </c>
      <c r="F14" s="24" t="inlineStr">
        <is>
          <t>자기자본수익률(ROE)</t>
        </is>
      </c>
      <c r="G14" s="161">
        <f>G13/G12</f>
        <v/>
      </c>
      <c r="H14" s="3" t="n"/>
      <c r="I14" s="3" t="n"/>
      <c r="J14" s="3" t="n"/>
      <c r="K14" s="3" t="n"/>
      <c r="L14" s="3" t="n"/>
    </row>
    <row r="15" ht="16.5" customHeight="1" s="138">
      <c r="A15" s="3" t="n"/>
      <c r="B15" s="4" t="inlineStr">
        <is>
          <t>예상낙찰가</t>
        </is>
      </c>
      <c r="C15" s="162">
        <f>C13*C14</f>
        <v/>
      </c>
      <c r="D15" s="4" t="inlineStr">
        <is>
          <t>대부법인이용수수료</t>
        </is>
      </c>
      <c r="E15" s="163" t="n"/>
      <c r="F15" s="24" t="inlineStr">
        <is>
          <t>연수익률</t>
        </is>
      </c>
      <c r="G15" s="161">
        <f>G14*365/G4</f>
        <v/>
      </c>
      <c r="H15" s="3" t="n"/>
      <c r="I15" s="3" t="n"/>
      <c r="J15" s="3" t="n"/>
      <c r="K15" s="3" t="n"/>
      <c r="L15" s="164" t="n"/>
    </row>
    <row r="16" ht="16.5" customHeight="1" s="138">
      <c r="A16" s="3" t="n"/>
      <c r="B16" s="4" t="inlineStr">
        <is>
          <t>선순위금액</t>
        </is>
      </c>
      <c r="C16" s="148" t="n">
        <v>0</v>
      </c>
      <c r="D16" s="4" t="inlineStr">
        <is>
          <t>배당추정금액</t>
        </is>
      </c>
      <c r="E16" s="165">
        <f>MIN(E14,(C15-C16-C18-C19-C20))</f>
        <v/>
      </c>
      <c r="F16" s="166" t="inlineStr">
        <is>
          <t>채권매입외비용</t>
        </is>
      </c>
      <c r="G16" s="167">
        <f>C17+E15+G5+G9+G10</f>
        <v/>
      </c>
      <c r="H16" s="3" t="n"/>
      <c r="I16" s="3" t="n"/>
      <c r="J16" s="3" t="n"/>
      <c r="K16" s="3" t="n"/>
      <c r="L16" s="164" t="n"/>
    </row>
    <row r="17" ht="16.5" customHeight="1" s="138">
      <c r="A17" s="3" t="n"/>
      <c r="B17" s="4" t="inlineStr">
        <is>
          <t>가지급금</t>
        </is>
      </c>
      <c r="C17" s="148" t="n"/>
      <c r="D17" s="4" t="inlineStr">
        <is>
          <t>채권매입비율(원금대비)</t>
        </is>
      </c>
      <c r="E17" s="168" t="n">
        <v>0.89</v>
      </c>
      <c r="F17" s="111" t="inlineStr">
        <is>
          <t>유입시 총 비용,취득세등 비용포함</t>
        </is>
      </c>
      <c r="G17" s="144">
        <f>(C15-E16)+C27+C28+E20+G5+G9+G10+'법인세 부가세 취득세'!C24-'법인세 부가세 취득세'!C16</f>
        <v/>
      </c>
      <c r="H17" s="3" t="n"/>
      <c r="I17" s="3" t="n"/>
      <c r="J17" s="3" t="n"/>
      <c r="K17" s="3" t="n"/>
      <c r="L17" s="164" t="n"/>
    </row>
    <row r="18" ht="16.5" customHeight="1" s="138">
      <c r="A18" s="3" t="n"/>
      <c r="B18" s="4" t="inlineStr">
        <is>
          <t>경매비용</t>
        </is>
      </c>
      <c r="C18" s="148" t="n">
        <v>0</v>
      </c>
      <c r="D18" s="4" t="inlineStr">
        <is>
          <t>채권매입비율(원금+연체)</t>
        </is>
      </c>
      <c r="E18" s="168" t="n">
        <v>0.89</v>
      </c>
      <c r="F18" s="3" t="n"/>
      <c r="G18" s="3" t="n"/>
      <c r="H18" s="31" t="n"/>
      <c r="I18" s="3" t="n"/>
      <c r="J18" s="3" t="n"/>
      <c r="K18" s="3" t="n"/>
      <c r="L18" s="164" t="n"/>
    </row>
    <row r="19" ht="17.25" customHeight="1" s="138">
      <c r="A19" s="3" t="n"/>
      <c r="B19" s="4" t="inlineStr">
        <is>
          <t>소액임차최우선변제금</t>
        </is>
      </c>
      <c r="C19" s="148" t="n"/>
      <c r="D19" s="4" t="n"/>
      <c r="E19" s="11" t="n"/>
      <c r="F19" s="3" t="n"/>
      <c r="G19" s="3" t="n"/>
      <c r="H19" s="3" t="n"/>
      <c r="I19" s="3" t="n"/>
      <c r="J19" s="3" t="n"/>
      <c r="K19" s="3" t="n"/>
      <c r="L19" s="164" t="n"/>
    </row>
    <row r="20" ht="16.5" customHeight="1" s="138">
      <c r="A20" s="3" t="n"/>
      <c r="B20" s="4" t="inlineStr">
        <is>
          <t>당해세</t>
        </is>
      </c>
      <c r="C20" s="148" t="n">
        <v>0</v>
      </c>
      <c r="D20" s="4" t="inlineStr">
        <is>
          <t>채권매입금액 (원금 or 연체포함)</t>
        </is>
      </c>
      <c r="E20" s="169">
        <f>MAX((E9*E17),((E9+E10)*E18))</f>
        <v/>
      </c>
      <c r="F20" s="170" t="n"/>
      <c r="G20" s="3" t="n"/>
      <c r="H20" s="3" t="n"/>
      <c r="I20" s="3" t="n"/>
      <c r="J20" s="3" t="n"/>
      <c r="K20" s="3" t="n"/>
      <c r="L20" s="170" t="n"/>
    </row>
    <row r="21" ht="16.5" customHeight="1" s="138">
      <c r="A21" s="3" t="n"/>
      <c r="B21" s="34" t="inlineStr">
        <is>
          <t>*가지급금제외</t>
        </is>
      </c>
      <c r="C21" s="129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 ht="16.5" customHeight="1" s="138">
      <c r="A22" s="3" t="n"/>
      <c r="B22" s="35" t="inlineStr">
        <is>
          <t>*근저당이전비용</t>
        </is>
      </c>
      <c r="C22" s="130" t="n">
        <v>0.0024</v>
      </c>
      <c r="D22" s="3" t="n"/>
      <c r="E22" s="3" t="n"/>
      <c r="F22" s="170" t="n"/>
      <c r="G22" s="171" t="n"/>
      <c r="H22" s="3" t="n"/>
      <c r="I22" s="3" t="n"/>
      <c r="J22" s="3" t="n"/>
      <c r="K22" s="3" t="n"/>
      <c r="L22" s="3" t="n"/>
    </row>
    <row r="23" ht="16.5" customHeight="1" s="138">
      <c r="A23" s="3" t="n"/>
      <c r="B23" s="37" t="inlineStr">
        <is>
          <t>국민주택채권</t>
        </is>
      </c>
      <c r="C23" s="131" t="n">
        <v>0.0015</v>
      </c>
      <c r="E23" s="3" t="n"/>
      <c r="F23" s="172" t="n"/>
      <c r="G23" s="151" t="n"/>
      <c r="H23" s="3" t="n"/>
      <c r="I23" s="150" t="n"/>
      <c r="J23" s="3" t="n"/>
      <c r="K23" s="3" t="n"/>
      <c r="L23" s="3" t="n"/>
    </row>
    <row r="24" ht="16.5" customHeight="1" s="138">
      <c r="A24" s="3" t="n"/>
      <c r="B24" s="37" t="inlineStr">
        <is>
          <t>법무비/인지세/기타</t>
        </is>
      </c>
      <c r="C24" s="143" t="n">
        <v>1500000</v>
      </c>
      <c r="D24" s="3" t="n"/>
      <c r="E24" s="3" t="n"/>
      <c r="F24" s="170" t="n"/>
      <c r="G24" s="151" t="n"/>
      <c r="H24" s="3" t="n"/>
      <c r="I24" s="3" t="n"/>
      <c r="J24" s="3" t="n"/>
      <c r="K24" s="3" t="n"/>
      <c r="L24" s="3" t="n"/>
    </row>
    <row r="25" ht="16.5" customHeight="1" s="138">
      <c r="A25" s="3" t="n"/>
      <c r="B25" s="38" t="inlineStr">
        <is>
          <t>*질권설정비용</t>
        </is>
      </c>
      <c r="C25" s="130" t="n">
        <v>0.0024</v>
      </c>
      <c r="D25" s="3" t="n"/>
      <c r="E25" s="3" t="n"/>
      <c r="F25" s="170" t="n"/>
      <c r="G25" s="171" t="n"/>
      <c r="H25" s="3" t="n"/>
      <c r="I25" s="3" t="n"/>
      <c r="J25" s="3" t="n"/>
      <c r="K25" s="3" t="n"/>
      <c r="L25" s="3" t="n"/>
    </row>
    <row r="26" ht="16.5" customHeight="1" s="138">
      <c r="A26" s="3" t="n"/>
      <c r="B26" s="38" t="inlineStr">
        <is>
          <t>*대부법인이용수수료</t>
        </is>
      </c>
      <c r="C26" s="130" t="n">
        <v>0.0067</v>
      </c>
      <c r="D26" s="3" t="n"/>
      <c r="E26" s="3" t="n"/>
      <c r="F26" s="150" t="n"/>
      <c r="G26" s="170" t="n"/>
      <c r="H26" s="3" t="n"/>
      <c r="I26" s="3" t="n"/>
      <c r="J26" s="3" t="n"/>
      <c r="K26" s="3" t="n"/>
      <c r="L26" s="3" t="n"/>
    </row>
    <row r="27" ht="16.5" customHeight="1" s="138">
      <c r="A27" s="3" t="n"/>
      <c r="B27" s="37" t="inlineStr">
        <is>
          <t>취득시 법무비용</t>
        </is>
      </c>
      <c r="C27" s="173" t="n">
        <v>1000000</v>
      </c>
      <c r="D27" s="3" t="n"/>
      <c r="E27" s="3" t="n"/>
      <c r="F27" s="150" t="n"/>
      <c r="G27" s="150" t="n"/>
      <c r="H27" s="3" t="n"/>
      <c r="I27" s="3" t="n"/>
      <c r="J27" s="3" t="n"/>
      <c r="K27" s="3" t="n"/>
      <c r="L27" s="3" t="n"/>
    </row>
    <row r="28" ht="16.5" customHeight="1" s="138">
      <c r="A28" s="3" t="n"/>
      <c r="B28" s="37" t="inlineStr">
        <is>
          <t>취득시 공인중개사비용</t>
        </is>
      </c>
      <c r="C28" s="174" t="n">
        <v>0</v>
      </c>
      <c r="D28" s="3" t="n"/>
      <c r="E28" s="3" t="n"/>
      <c r="F28" s="150" t="n"/>
      <c r="G28" s="3" t="n"/>
      <c r="H28" s="3" t="n"/>
      <c r="I28" s="3" t="n"/>
      <c r="J28" s="3" t="n"/>
      <c r="K28" s="3" t="n"/>
      <c r="L28" s="3" t="n"/>
    </row>
    <row r="29" ht="18" customHeight="1" s="138" thickBo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 ht="16.5" customHeight="1" s="138" thickTop="1">
      <c r="A30" s="3" t="n"/>
      <c r="B30" s="39" t="inlineStr">
        <is>
          <t>감정평가 합계</t>
        </is>
      </c>
      <c r="C30" s="175">
        <f>C13</f>
        <v/>
      </c>
      <c r="D30" s="3" t="n"/>
      <c r="E30" s="115" t="inlineStr">
        <is>
          <t>대표자</t>
        </is>
      </c>
      <c r="F30" s="116" t="n"/>
      <c r="G30" s="3" t="n"/>
      <c r="H30" s="3" t="n"/>
      <c r="I30" s="3" t="n"/>
      <c r="J30" s="3" t="n"/>
      <c r="K30" s="3" t="n"/>
      <c r="L30" s="3" t="n"/>
    </row>
    <row r="31" ht="16.5" customHeight="1" s="138">
      <c r="A31" s="3" t="n"/>
      <c r="B31" s="41" t="inlineStr">
        <is>
          <t>감정 평가 토지분</t>
        </is>
      </c>
      <c r="C31" s="176" t="n"/>
      <c r="D31" s="3" t="n"/>
      <c r="E31" s="117" t="inlineStr">
        <is>
          <t>주소</t>
        </is>
      </c>
      <c r="F31" s="118" t="n"/>
      <c r="G31" s="3" t="n"/>
      <c r="H31" s="3" t="n"/>
      <c r="I31" s="3" t="n"/>
      <c r="J31" s="3" t="n"/>
      <c r="K31" s="3" t="n"/>
      <c r="L31" s="3" t="n"/>
    </row>
    <row r="32" ht="16.5" customHeight="1" s="138">
      <c r="A32" s="3" t="n"/>
      <c r="B32" s="41" t="inlineStr">
        <is>
          <t>감정평가 건물분</t>
        </is>
      </c>
      <c r="C32" s="176" t="n"/>
      <c r="D32" s="3" t="n"/>
      <c r="E32" s="117" t="inlineStr">
        <is>
          <t>연락처</t>
        </is>
      </c>
      <c r="F32" s="118" t="n"/>
      <c r="G32" s="3" t="n"/>
      <c r="H32" s="3" t="n"/>
      <c r="I32" s="3" t="n"/>
      <c r="J32" s="3" t="n"/>
      <c r="K32" s="3" t="n"/>
      <c r="L32" s="3" t="n"/>
    </row>
    <row r="33" ht="16.5" customHeight="1" s="138">
      <c r="A33" s="3" t="n"/>
      <c r="B33" s="41" t="inlineStr">
        <is>
          <t>감정 평가 제시외 건물</t>
        </is>
      </c>
      <c r="C33" s="176" t="n"/>
      <c r="D33" s="3" t="n"/>
      <c r="E33" s="117" t="inlineStr">
        <is>
          <t>사업자 등록번호</t>
        </is>
      </c>
      <c r="F33" s="118" t="n"/>
      <c r="G33" s="3" t="n"/>
      <c r="H33" s="3" t="n"/>
      <c r="I33" s="3" t="n"/>
      <c r="J33" s="3" t="n"/>
      <c r="K33" s="3" t="n"/>
      <c r="L33" s="3" t="n"/>
    </row>
    <row r="34" ht="16.5" customHeight="1" s="138">
      <c r="A34" s="3" t="n"/>
      <c r="B34" s="41" t="inlineStr">
        <is>
          <t>총건물 면적</t>
        </is>
      </c>
      <c r="C34" s="43" t="n"/>
      <c r="D34" s="44" t="n"/>
      <c r="E34" s="117" t="inlineStr">
        <is>
          <t>채무자 주소</t>
        </is>
      </c>
      <c r="F34" s="118" t="n"/>
      <c r="G34" s="3" t="n"/>
      <c r="H34" s="3" t="n"/>
      <c r="I34" s="3" t="n"/>
      <c r="J34" s="3" t="n"/>
      <c r="K34" s="3" t="n"/>
      <c r="L34" s="3" t="n"/>
    </row>
    <row r="35" ht="16.5" customHeight="1" s="138" thickBot="1">
      <c r="A35" s="3" t="n"/>
      <c r="B35" s="41" t="inlineStr">
        <is>
          <t>주거</t>
        </is>
      </c>
      <c r="C35" s="43" t="n"/>
      <c r="D35" s="3" t="n"/>
      <c r="E35" s="119" t="inlineStr">
        <is>
          <t>계약일</t>
        </is>
      </c>
      <c r="F35" s="120" t="n"/>
      <c r="G35" s="3" t="n"/>
      <c r="H35" s="3" t="n"/>
      <c r="I35" s="3" t="n"/>
      <c r="J35" s="3" t="n"/>
      <c r="K35" s="3" t="n"/>
      <c r="L35" s="3" t="n"/>
    </row>
    <row r="36" ht="16.5" customHeight="1" s="138">
      <c r="A36" s="3" t="n"/>
      <c r="B36" s="41" t="inlineStr">
        <is>
          <t>근린</t>
        </is>
      </c>
      <c r="C36" s="43">
        <f>SUM(C39:C44)</f>
        <v/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 ht="17.25" customHeight="1" s="138">
      <c r="A37" s="3" t="n"/>
      <c r="B37" s="45" t="inlineStr">
        <is>
          <t>토지 (대지) 면적</t>
        </is>
      </c>
      <c r="C37" s="177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 ht="17.25" customHeight="1" s="1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 ht="17.25" customHeight="1" s="138">
      <c r="A39" s="3" t="n"/>
      <c r="B39" s="47" t="inlineStr">
        <is>
          <t>지하 1층 근린</t>
        </is>
      </c>
      <c r="C39" s="48" t="n">
        <v>0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 ht="17.25" customHeight="1" s="138">
      <c r="A40" s="3" t="n"/>
      <c r="B40" s="49" t="inlineStr">
        <is>
          <t>1층 근린</t>
        </is>
      </c>
      <c r="C40" s="50" t="n">
        <v>0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 ht="17.25" customHeight="1" s="138">
      <c r="A41" s="3" t="n"/>
      <c r="B41" s="49" t="inlineStr">
        <is>
          <t>2층 근린</t>
        </is>
      </c>
      <c r="C41" s="50" t="n">
        <v>0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 ht="17.25" customHeight="1" s="138">
      <c r="A42" s="3" t="n"/>
      <c r="B42" s="49" t="inlineStr">
        <is>
          <t>3층 근린</t>
        </is>
      </c>
      <c r="C42" s="50" t="n">
        <v>0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 ht="17.25" customHeight="1" s="138">
      <c r="A43" s="3" t="n"/>
      <c r="B43" s="49" t="inlineStr">
        <is>
          <t>4층 근린</t>
        </is>
      </c>
      <c r="C43" s="50" t="n">
        <v>0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 ht="17.25" customHeight="1" s="138">
      <c r="A44" s="3" t="n"/>
      <c r="B44" s="49" t="inlineStr">
        <is>
          <t>5층 근린</t>
        </is>
      </c>
      <c r="C44" s="50" t="n">
        <v>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 ht="17.25" customHeight="1" s="138">
      <c r="A45" s="3" t="n"/>
      <c r="B45" s="51" t="inlineStr">
        <is>
          <t>옥탑</t>
        </is>
      </c>
      <c r="C45" s="52" t="n">
        <v>0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 ht="17.25" customHeight="1" s="138"/>
  </sheetData>
  <mergeCells count="3">
    <mergeCell ref="C4:E4"/>
    <mergeCell ref="C3:E3"/>
    <mergeCell ref="B1:C1"/>
  </mergeCells>
  <pageMargins left="0.7" right="0.7" top="0.75" bottom="0.75" header="0.511811023622047" footer="0.511811023622047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zoomScaleNormal="100" workbookViewId="0">
      <selection activeCell="E18" sqref="E18"/>
    </sheetView>
  </sheetViews>
  <sheetFormatPr baseColWidth="8" defaultColWidth="8.5" defaultRowHeight="17.4"/>
  <cols>
    <col width="33" customWidth="1" style="2" min="1" max="1"/>
    <col width="22" customWidth="1" style="2" min="2" max="2"/>
    <col width="18" customWidth="1" style="2" min="3" max="4"/>
    <col width="28" customWidth="1" style="2" min="5" max="5"/>
    <col width="8.5" customWidth="1" style="1" min="6" max="16384"/>
  </cols>
  <sheetData>
    <row r="1">
      <c r="A1" s="3" t="n"/>
      <c r="B1" s="3" t="n"/>
      <c r="C1" s="3" t="n"/>
      <c r="D1" s="3" t="n"/>
      <c r="E1" s="3" t="n"/>
      <c r="F1" s="3" t="n"/>
    </row>
    <row r="2" ht="16.5" customHeight="1" s="138">
      <c r="A2" s="3" t="n"/>
      <c r="B2" s="53" t="inlineStr">
        <is>
          <t>법인이 직접 투자</t>
        </is>
      </c>
      <c r="C2" s="3" t="n"/>
      <c r="D2" s="3" t="n"/>
      <c r="E2" s="3" t="n"/>
      <c r="F2" s="3" t="n"/>
    </row>
    <row r="3" ht="16.5" customHeight="1" s="138">
      <c r="A3" s="3" t="n"/>
      <c r="B3" s="54" t="inlineStr">
        <is>
          <t>기존 당기순이익</t>
        </is>
      </c>
      <c r="C3" s="178" t="n">
        <v>200000000</v>
      </c>
      <c r="D3" s="56" t="inlineStr">
        <is>
          <t>세전 순수익 (A)</t>
        </is>
      </c>
      <c r="E3" s="179">
        <f>C4 - C5 - (C5*C6*C7*(C8/365)) - C9</f>
        <v/>
      </c>
      <c r="F3" s="3" t="n"/>
    </row>
    <row r="4" ht="16.5" customHeight="1" s="138">
      <c r="A4" s="3" t="n"/>
      <c r="B4" s="58" t="inlineStr">
        <is>
          <t>이번 NPL 배당금</t>
        </is>
      </c>
      <c r="C4" s="163">
        <f>분석!E16</f>
        <v/>
      </c>
      <c r="D4" s="59" t="inlineStr">
        <is>
          <t>법인세 합계</t>
        </is>
      </c>
      <c r="E4" s="180">
        <f>IF(C3&gt;=200000000, E3*0.22, IF(C3+E3&lt;=200000000, E3*0.11, (200000000-C3)*0.11 + (C3+E3-200000000)*0.22))</f>
        <v/>
      </c>
      <c r="F4" s="3" t="n"/>
    </row>
    <row r="5" ht="16.5" customHeight="1" s="138">
      <c r="A5" s="3" t="n"/>
      <c r="B5" s="58" t="inlineStr">
        <is>
          <t>채권 매입가</t>
        </is>
      </c>
      <c r="C5" s="159">
        <f>분석!E20</f>
        <v/>
      </c>
      <c r="D5" s="61" t="inlineStr">
        <is>
          <t>최종 세후 순수익</t>
        </is>
      </c>
      <c r="E5" s="181">
        <f>E3-E4</f>
        <v/>
      </c>
      <c r="F5" s="3" t="n"/>
    </row>
    <row r="6" ht="16.5" customHeight="1" s="138">
      <c r="A6" s="3" t="n"/>
      <c r="B6" s="58" t="inlineStr">
        <is>
          <t>질권대출 LTV</t>
        </is>
      </c>
      <c r="C6" s="63" t="n">
        <v>0.75</v>
      </c>
      <c r="D6" s="64" t="n"/>
      <c r="E6" s="182" t="n"/>
      <c r="F6" s="3" t="n"/>
    </row>
    <row r="7" ht="16.5" customHeight="1" s="138">
      <c r="A7" s="3" t="n"/>
      <c r="B7" s="58" t="inlineStr">
        <is>
          <t>질권대출 연금리</t>
        </is>
      </c>
      <c r="C7" s="183">
        <f>분석!G7</f>
        <v/>
      </c>
      <c r="D7" s="64" t="n"/>
      <c r="E7" s="182" t="n"/>
      <c r="F7" s="3" t="n"/>
    </row>
    <row r="8" ht="21" customHeight="1" s="138">
      <c r="A8" s="3" t="n"/>
      <c r="B8" s="58" t="inlineStr">
        <is>
          <t>투자 기간 (일수)</t>
        </is>
      </c>
      <c r="C8" s="159">
        <f>분석!G4</f>
        <v/>
      </c>
      <c r="D8" s="64" t="n"/>
      <c r="E8" s="182" t="n"/>
      <c r="F8" s="3" t="n"/>
    </row>
    <row r="9" ht="16.5" customHeight="1" s="138">
      <c r="A9" s="3" t="n"/>
      <c r="B9" s="58" t="inlineStr">
        <is>
          <t>기타 제비용</t>
        </is>
      </c>
      <c r="C9" s="159">
        <f>분석!G16-분석!G10</f>
        <v/>
      </c>
      <c r="D9" s="67" t="n"/>
      <c r="E9" s="68" t="n"/>
      <c r="F9" s="3" t="n"/>
    </row>
    <row r="10" ht="16.5" customHeight="1" s="138">
      <c r="A10" s="3" t="n"/>
      <c r="B10" s="69" t="inlineStr">
        <is>
          <t>법인세율</t>
        </is>
      </c>
      <c r="C10" s="70">
        <f>IF(C3&gt;=200000000, 0.2, IF(C3&lt;=200000000, 0.1, (200000000-C3)*0.11 + (C3+E3-200000000)*0.2))</f>
        <v/>
      </c>
      <c r="D10" s="67" t="n"/>
      <c r="E10" s="68" t="n"/>
      <c r="F10" s="3" t="n"/>
    </row>
    <row r="11" ht="16.5" customHeight="1" s="138">
      <c r="A11" s="3" t="n"/>
      <c r="B11" s="69" t="inlineStr">
        <is>
          <t>지방소득세율</t>
        </is>
      </c>
      <c r="C11" s="70">
        <f>C10*0.1</f>
        <v/>
      </c>
      <c r="D11" s="67" t="n"/>
      <c r="E11" s="68" t="n"/>
      <c r="F11" s="3" t="n"/>
    </row>
    <row r="12" ht="17.25" customHeight="1" s="138">
      <c r="A12" s="3" t="n"/>
      <c r="B12" s="71" t="inlineStr">
        <is>
          <t>질권대출 이자</t>
        </is>
      </c>
      <c r="C12" s="184">
        <f>ROUND(C5 * C6 * C7 * (C8/365), 0)</f>
        <v/>
      </c>
      <c r="D12" s="73" t="n"/>
      <c r="E12" s="74" t="n"/>
      <c r="F12" s="3" t="n"/>
    </row>
    <row r="13" ht="17.25" customHeight="1" s="138">
      <c r="A13" s="3" t="n"/>
      <c r="B13" s="75" t="inlineStr">
        <is>
          <t>부가세 환급 상세</t>
        </is>
      </c>
      <c r="C13" s="3" t="n"/>
      <c r="D13" s="76" t="inlineStr">
        <is>
          <t>직접 유입 여부</t>
        </is>
      </c>
      <c r="E13" s="77" t="n">
        <v>1</v>
      </c>
      <c r="F13" s="3" t="n"/>
    </row>
    <row r="14" ht="16.5" customHeight="1" s="138">
      <c r="A14" s="3" t="n"/>
      <c r="B14" s="53" t="inlineStr">
        <is>
          <t>기준시가 토지분</t>
        </is>
      </c>
      <c r="C14" s="78" t="n">
        <v>0</v>
      </c>
      <c r="D14" s="79" t="inlineStr">
        <is>
          <t>※ 0 입력 시 감정평가 기준 적용</t>
        </is>
      </c>
      <c r="E14" s="3" t="n"/>
      <c r="F14" s="3" t="n"/>
    </row>
    <row r="15" ht="17.25" customHeight="1" s="138">
      <c r="A15" s="3" t="n"/>
      <c r="B15" s="53" t="inlineStr">
        <is>
          <t>기준시가 건물분</t>
        </is>
      </c>
      <c r="C15" s="78" t="n">
        <v>0</v>
      </c>
      <c r="D15" s="79" t="inlineStr">
        <is>
          <t>※ E13: 1=직접유입, 0=제3자낙찰</t>
        </is>
      </c>
      <c r="E15" s="3" t="n"/>
      <c r="F15" s="3" t="n"/>
    </row>
    <row r="16" ht="18" customHeight="1" s="138">
      <c r="A16" s="80" t="n"/>
      <c r="B16" s="81" t="inlineStr">
        <is>
          <t>부가세 환급</t>
        </is>
      </c>
      <c r="C16" s="82" t="n">
        <v>0</v>
      </c>
      <c r="D16" s="3" t="n"/>
      <c r="E16" s="3" t="n"/>
      <c r="F16" s="3" t="n"/>
    </row>
    <row r="17" ht="16.5" customHeight="1" s="138">
      <c r="A17" s="3" t="n"/>
      <c r="B17" s="41" t="inlineStr">
        <is>
          <t>감정평가</t>
        </is>
      </c>
      <c r="C17" s="185">
        <f>분석!C30</f>
        <v/>
      </c>
      <c r="D17" s="3" t="n"/>
      <c r="E17" s="3" t="n"/>
      <c r="F17" s="3" t="n"/>
    </row>
    <row r="18" ht="16.5" customHeight="1" s="138">
      <c r="A18" s="3" t="n"/>
      <c r="B18" s="41" t="inlineStr">
        <is>
          <t>낙찰가 (예상)</t>
        </is>
      </c>
      <c r="C18" s="186">
        <f>분석!C15</f>
        <v/>
      </c>
      <c r="D18" s="3" t="n"/>
      <c r="E18" s="3" t="n"/>
      <c r="F18" s="3" t="n"/>
    </row>
    <row r="19" ht="16.5" customHeight="1" s="138">
      <c r="A19" s="3" t="n"/>
      <c r="B19" s="41" t="inlineStr">
        <is>
          <t xml:space="preserve">토지분 </t>
        </is>
      </c>
      <c r="C19" s="85" t="n">
        <v>0</v>
      </c>
      <c r="D19" s="3" t="n"/>
      <c r="E19" s="3" t="n"/>
      <c r="F19" s="3" t="n"/>
    </row>
    <row r="20" ht="17.25" customHeight="1" s="138">
      <c r="A20" s="3" t="n"/>
      <c r="B20" s="45" t="inlineStr">
        <is>
          <t>건물분</t>
        </is>
      </c>
      <c r="C20" s="86" t="n">
        <v>0</v>
      </c>
      <c r="D20" s="3" t="n"/>
      <c r="E20" s="3" t="n"/>
      <c r="F20" s="3" t="n"/>
    </row>
    <row r="21" ht="17.25" customHeight="1" s="138">
      <c r="A21" s="3" t="n"/>
      <c r="B21" s="53" t="inlineStr">
        <is>
          <t>낙찰가 건물 안분액</t>
        </is>
      </c>
      <c r="C21" s="87">
        <f>IF(AND(C14&gt;0,C15&gt;0), C18*C15/(C14+C15), IF(C17=0, 0, C18*C20/C17))</f>
        <v/>
      </c>
      <c r="D21" s="53" t="inlineStr">
        <is>
          <t>안분기준</t>
        </is>
      </c>
      <c r="E21" s="79">
        <f>IF(AND(C14&gt;0,C15&gt;0), "기준시가", "감정평가")</f>
        <v/>
      </c>
      <c r="F21" s="3" t="n"/>
    </row>
    <row r="22" ht="16.5" customHeight="1" s="138">
      <c r="A22" s="3" t="n"/>
      <c r="B22" s="53" t="inlineStr">
        <is>
          <t>상가 건물분 (과세대상)</t>
        </is>
      </c>
      <c r="C22" s="87">
        <f>IF(OR(C21=0, 분석!C34=0), 0, C21*분석!C36/분석!C34)</f>
        <v/>
      </c>
      <c r="D22" s="53" t="inlineStr">
        <is>
          <t>근린비율</t>
        </is>
      </c>
      <c r="E22" s="187">
        <f>IF(분석!C34=0, 0, 분석!C36/분석!C34)</f>
        <v/>
      </c>
      <c r="F22" s="3" t="n"/>
    </row>
    <row r="23" ht="17.25" customHeight="1" s="138">
      <c r="A23" s="3" t="n"/>
      <c r="B23" s="53" t="inlineStr">
        <is>
          <t>주거+제시외 건물분 (면세)</t>
        </is>
      </c>
      <c r="C23" s="87">
        <f>C21-C22</f>
        <v/>
      </c>
      <c r="D23" s="53" t="inlineStr">
        <is>
          <t>주거비율</t>
        </is>
      </c>
      <c r="E23" s="187">
        <f>IF(분석!C34=0, 0, (분석!C35+분석!C45)/분석!C34)</f>
        <v/>
      </c>
      <c r="F23" s="3" t="n"/>
    </row>
    <row r="24" ht="18" customHeight="1" s="138">
      <c r="A24" s="3" t="n"/>
      <c r="B24" s="89" t="inlineStr">
        <is>
          <t>취득세 합계</t>
        </is>
      </c>
      <c r="C24" s="90">
        <f>C39+D39+E39</f>
        <v/>
      </c>
      <c r="D24" s="3" t="n"/>
      <c r="E24" s="3" t="n"/>
      <c r="F24" s="3" t="n"/>
    </row>
    <row r="25" ht="17.25" customHeight="1" s="138">
      <c r="A25" s="3" t="n"/>
      <c r="B25" s="91" t="inlineStr">
        <is>
          <t>감정평가</t>
        </is>
      </c>
      <c r="C25" s="188">
        <f>분석!C13</f>
        <v/>
      </c>
      <c r="D25" s="3" t="n"/>
      <c r="E25" s="3" t="n"/>
      <c r="F25" s="3" t="n"/>
    </row>
    <row r="26" ht="17.25" customHeight="1" s="138">
      <c r="A26" s="3" t="n"/>
      <c r="B26" s="91" t="inlineStr">
        <is>
          <t>과세표준 (낙찰가)</t>
        </is>
      </c>
      <c r="C26" s="189">
        <f>C18</f>
        <v/>
      </c>
      <c r="D26" s="3" t="n"/>
      <c r="E26" s="3" t="n"/>
      <c r="F26" s="3" t="n"/>
    </row>
    <row r="27" ht="17.25" customHeight="1" s="138">
      <c r="A27" s="3" t="n"/>
      <c r="B27" s="91" t="inlineStr">
        <is>
          <t>주거 과세표준</t>
        </is>
      </c>
      <c r="C27" s="94">
        <f>IF(OR(C17=0,분석!C34=0),0,C26/C17*(분석!C32*분석!C35/분석!C34+IF(C30=1,분석!C33,0)))</f>
        <v/>
      </c>
      <c r="D27" s="95" t="inlineStr">
        <is>
          <t>비율</t>
        </is>
      </c>
      <c r="E27" s="190">
        <f>IF(C26=0,0,C27/C26)</f>
        <v/>
      </c>
      <c r="F27" s="3" t="n"/>
    </row>
    <row r="28" ht="17.25" customHeight="1" s="138">
      <c r="A28" s="3" t="n"/>
      <c r="B28" s="91" t="inlineStr">
        <is>
          <t>상가 과세표준</t>
        </is>
      </c>
      <c r="C28" s="94">
        <f>IF(OR(C17=0,분석!C34=0),0,C26/C17*(분석!C32*분석!C36/분석!C34+IF(C30=0,분석!C33,0)))</f>
        <v/>
      </c>
      <c r="D28" s="95" t="inlineStr">
        <is>
          <t>비율</t>
        </is>
      </c>
      <c r="E28" s="191">
        <f>IF(C26=0,0,C28/C26)</f>
        <v/>
      </c>
      <c r="F28" s="3" t="n"/>
    </row>
    <row r="29" ht="17.25" customHeight="1" s="138">
      <c r="A29" s="3" t="n"/>
      <c r="B29" s="91" t="inlineStr">
        <is>
          <t>토지 과세표준</t>
        </is>
      </c>
      <c r="C29" s="94">
        <f>C26-C27-C28</f>
        <v/>
      </c>
      <c r="D29" s="79" t="n"/>
      <c r="E29" s="191" t="n"/>
      <c r="F29" s="3" t="n"/>
    </row>
    <row r="30" ht="17.25" customHeight="1" s="138">
      <c r="A30" s="3" t="n"/>
      <c r="B30" s="98" t="inlineStr">
        <is>
          <t>제시외 건물 분류</t>
        </is>
      </c>
      <c r="C30" s="99" t="n">
        <v>0</v>
      </c>
      <c r="D30" s="79" t="inlineStr">
        <is>
          <t>※ 0=상가, 1=주거 (옥탑/다락=주거)</t>
        </is>
      </c>
      <c r="E30" s="3" t="n"/>
      <c r="F30" s="3" t="n"/>
    </row>
    <row r="31" ht="17.25" customHeight="1" s="138">
      <c r="A31" s="3" t="n"/>
      <c r="B31" s="95" t="inlineStr">
        <is>
          <t>검증(과세표준 합계)</t>
        </is>
      </c>
      <c r="C31" s="100">
        <f>C27+C28+C29</f>
        <v/>
      </c>
      <c r="D31" s="79">
        <f>IF(ABS(C31-C26)&lt;1,"OK","ERROR")</f>
        <v/>
      </c>
      <c r="E31" s="3" t="n"/>
      <c r="F31" s="3" t="n"/>
    </row>
    <row r="32" ht="16.5" customHeight="1" s="138">
      <c r="A32" s="3" t="n"/>
      <c r="B32" s="75" t="inlineStr">
        <is>
          <t>취득세 세부 내역</t>
        </is>
      </c>
      <c r="C32" s="3" t="n"/>
      <c r="D32" s="3" t="n"/>
      <c r="E32" s="3" t="n"/>
      <c r="F32" s="3" t="n"/>
    </row>
    <row r="33" ht="16.5" customHeight="1" s="138">
      <c r="A33" s="3" t="n"/>
      <c r="B33" s="76" t="inlineStr">
        <is>
          <t>구분</t>
        </is>
      </c>
      <c r="C33" s="101" t="inlineStr">
        <is>
          <t>주거부분</t>
        </is>
      </c>
      <c r="D33" s="102" t="inlineStr">
        <is>
          <t>상가부분</t>
        </is>
      </c>
      <c r="E33" s="102" t="inlineStr">
        <is>
          <t>토지부분</t>
        </is>
      </c>
      <c r="F33" s="75" t="inlineStr">
        <is>
          <t>비고</t>
        </is>
      </c>
    </row>
    <row r="34" ht="16.5" customHeight="1" s="138">
      <c r="A34" s="3" t="n"/>
      <c r="B34" s="103" t="inlineStr">
        <is>
          <t>취득세율 (본세)</t>
        </is>
      </c>
      <c r="C34" s="192" t="n">
        <v>0.12</v>
      </c>
      <c r="D34" s="192" t="n">
        <v>0.04</v>
      </c>
      <c r="E34" s="192" t="n">
        <v>0.04</v>
      </c>
      <c r="F34" s="105" t="inlineStr">
        <is>
          <t>토지 4%</t>
        </is>
      </c>
    </row>
    <row r="35" ht="16.5" customHeight="1" s="138">
      <c r="A35" s="3" t="n"/>
      <c r="B35" s="103" t="inlineStr">
        <is>
          <t>취득세 (본세)</t>
        </is>
      </c>
      <c r="C35" s="106">
        <f>C27*C34</f>
        <v/>
      </c>
      <c r="D35" s="106">
        <f>(C28+C30)*D34</f>
        <v/>
      </c>
      <c r="E35" s="87">
        <f>C29*E34</f>
        <v/>
      </c>
      <c r="F35" s="3" t="n"/>
    </row>
    <row r="36" ht="16.5" customHeight="1" s="138">
      <c r="A36" s="3" t="n"/>
      <c r="B36" s="103" t="inlineStr">
        <is>
          <t>지방교육세</t>
        </is>
      </c>
      <c r="C36" s="106">
        <f>C35*0.1</f>
        <v/>
      </c>
      <c r="D36" s="106">
        <f>D35*0.1</f>
        <v/>
      </c>
      <c r="E36" s="87">
        <f>E35*0.1</f>
        <v/>
      </c>
      <c r="F36" s="105" t="inlineStr">
        <is>
          <t>취득세 본세 × 10%</t>
        </is>
      </c>
    </row>
    <row r="37" ht="16.5" customHeight="1" s="138">
      <c r="A37" s="3" t="n"/>
      <c r="B37" s="103" t="inlineStr">
        <is>
          <t>농특세율</t>
        </is>
      </c>
      <c r="C37" s="192" t="n">
        <v>0.002</v>
      </c>
      <c r="D37" s="192" t="n">
        <v>0.002</v>
      </c>
      <c r="E37" s="192" t="n">
        <v>0.002</v>
      </c>
      <c r="F37" s="107" t="inlineStr">
        <is>
          <t>85m²초과 0.2%</t>
        </is>
      </c>
    </row>
    <row r="38" ht="16.5" customHeight="1" s="138">
      <c r="A38" s="3" t="n"/>
      <c r="B38" s="103" t="inlineStr">
        <is>
          <t>농어촌특별세</t>
        </is>
      </c>
      <c r="C38" s="106">
        <f>C27*C37</f>
        <v/>
      </c>
      <c r="D38" s="106">
        <f>(C28+C30)*D37</f>
        <v/>
      </c>
      <c r="E38" s="87">
        <f>(C25-C27-C28)*E37</f>
        <v/>
      </c>
      <c r="F38" s="3" t="n"/>
    </row>
    <row r="39" ht="16.5" customHeight="1" s="138">
      <c r="A39" s="3" t="n"/>
      <c r="B39" s="76" t="inlineStr">
        <is>
          <t>소계</t>
        </is>
      </c>
      <c r="C39" s="108">
        <f>C35+C36+C38</f>
        <v/>
      </c>
      <c r="D39" s="108">
        <f>D35+D36+D38</f>
        <v/>
      </c>
      <c r="E39" s="109">
        <f>E35+E36+E38</f>
        <v/>
      </c>
      <c r="F39" s="3" t="n"/>
    </row>
    <row r="40" ht="16.5" customHeight="1" s="138">
      <c r="A40" s="3" t="n"/>
      <c r="B40" s="95" t="inlineStr">
        <is>
          <t>합산세율</t>
        </is>
      </c>
      <c r="C40" s="190">
        <f>C34+C34*0.1+C37</f>
        <v/>
      </c>
      <c r="D40" s="190">
        <f>D34+D34*0.1+D37</f>
        <v/>
      </c>
      <c r="E40" s="193">
        <f>E34+E34*0.1+E37</f>
        <v/>
      </c>
      <c r="F40" s="3" t="n"/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교육용</dc:creator>
  <dc:title xmlns:dc="http://purl.org/dc/elements/1.1/"/>
  <dc:language xmlns:dc="http://purl.org/dc/elements/1.1/">en-US</dc:language>
  <dcterms:created xmlns:dcterms="http://purl.org/dc/terms/" xmlns:xsi="http://www.w3.org/2001/XMLSchema-instance" xsi:type="dcterms:W3CDTF">2025-02-04T23:24:29Z</dcterms:created>
  <dcterms:modified xmlns:dcterms="http://purl.org/dc/terms/" xmlns:xsi="http://www.w3.org/2001/XMLSchema-instance" xsi:type="dcterms:W3CDTF">2026-09-29T06:33:47Z</dcterms:modified>
  <cp:lastModifiedBy>교육용</cp:lastModifiedBy>
  <cp:revision>0</cp:revision>
</cp:coreProperties>
</file>